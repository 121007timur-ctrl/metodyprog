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-кейсы" sheetId="1" state="visible" r:id="rId1"/>
    <sheet name="Дефекты" sheetId="2" state="visible" r:id="rId2"/>
    <sheet name="Сводка" sheetId="3" state="visible" r:id="rId3"/>
  </sheets>
  <definedNames>
    <definedName name="_xlnm._FilterDatabase" localSheetId="0" hidden="1">'Тест-кейсы'!$A$4:$K$23</definedName>
    <definedName name="_xlnm._FilterDatabase" localSheetId="1" hidden="1">'Дефекты'!$A$4:$K$10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3A6EA5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34" customWidth="1" min="5" max="5"/>
    <col width="26" customWidth="1" min="6" max="6"/>
    <col width="34" customWidth="1" min="7" max="7"/>
    <col width="38" customWidth="1" min="8" max="8"/>
    <col width="10" customWidth="1" min="9" max="9"/>
    <col width="10" customWidth="1" min="10" max="10"/>
    <col width="9" customWidth="1" min="11" max="11"/>
  </cols>
  <sheetData>
    <row r="1">
      <c r="A1" s="1" t="inlineStr">
        <is>
          <t>Тест-кейсы: вариант 4 (метод Ньютона), авторизация, задания</t>
        </is>
      </c>
    </row>
    <row r="2">
      <c r="A2" t="inlineStr">
        <is>
          <t>Автор: Далаков Аслан, 251-952    Дата прогона: 23.09.2026    Окружение: Windows 11, Qt 6.11.1 MinGW 64-bit, сервер echoServer (порт 33333), ветка feature/dalakov</t>
        </is>
      </c>
    </row>
    <row r="4">
      <c r="A4" s="2" t="inlineStr">
        <is>
          <t>ID</t>
        </is>
      </c>
      <c r="B4" s="2" t="inlineStr">
        <is>
          <t>Модуль</t>
        </is>
      </c>
      <c r="C4" s="2" t="inlineStr">
        <is>
          <t>Название</t>
        </is>
      </c>
      <c r="D4" s="2" t="inlineStr">
        <is>
          <t>Предусловия</t>
        </is>
      </c>
      <c r="E4" s="2" t="inlineStr">
        <is>
          <t>Шаги</t>
        </is>
      </c>
      <c r="F4" s="2" t="inlineStr">
        <is>
          <t>Тестовые данные</t>
        </is>
      </c>
      <c r="G4" s="2" t="inlineStr">
        <is>
          <t>Ожидаемый результат</t>
        </is>
      </c>
      <c r="H4" s="2" t="inlineStr">
        <is>
          <t>Фактический результат</t>
        </is>
      </c>
      <c r="I4" s="2" t="inlineStr">
        <is>
          <t>Статус</t>
        </is>
      </c>
      <c r="J4" s="2" t="inlineStr">
        <is>
          <t>Приоритет</t>
        </is>
      </c>
      <c r="K4" s="2" t="inlineStr">
        <is>
          <t>Дефект</t>
        </is>
      </c>
    </row>
    <row r="5">
      <c r="A5" s="3" t="inlineStr">
        <is>
          <t>TC-01</t>
        </is>
      </c>
      <c r="B5" s="3" t="inlineStr">
        <is>
          <t>Вариант 4 / сервер</t>
        </is>
      </c>
      <c r="C5" s="3" t="inlineStr">
        <is>
          <t>Шаг Ньютона для классического примера</t>
        </is>
      </c>
      <c r="D5" s="3" t="inlineStr">
        <is>
          <t>Сервер запущен, пользователь вошёл в систему</t>
        </is>
      </c>
      <c r="E5" s="3" t="inlineStr">
        <is>
          <t>1. Отправить команду NEWTON с данными</t>
        </is>
      </c>
      <c r="F5" s="3" t="inlineStr">
        <is>
          <t>NEWTON 1 0 -2 -5 2
(f = x³ − 2x − 5, x0 = 2)</t>
        </is>
      </c>
      <c r="G5" s="3" t="inlineStr">
        <is>
          <t>f(x0) = −1, f'(x0) = 10, x1 = 2.1, строка NEWTON OK x1=2.1</t>
        </is>
      </c>
      <c r="H5" s="3" t="inlineStr">
        <is>
          <t>f(x0) = -1, f'(x0) = 10, x1 = 2.1, NEWTON OK x1=2.1</t>
        </is>
      </c>
      <c r="I5" s="4" t="inlineStr">
        <is>
          <t>Passed</t>
        </is>
      </c>
      <c r="J5" s="3" t="inlineStr">
        <is>
          <t>High</t>
        </is>
      </c>
      <c r="K5" s="3" t="inlineStr"/>
    </row>
    <row r="6">
      <c r="A6" s="3" t="inlineStr">
        <is>
          <t>TC-02</t>
        </is>
      </c>
      <c r="B6" s="3" t="inlineStr">
        <is>
          <t>Вариант 4 / сервер</t>
        </is>
      </c>
      <c r="C6" s="3" t="inlineStr">
        <is>
          <t>Нулевая производная в x0</t>
        </is>
      </c>
      <c r="D6" s="3" t="inlineStr">
        <is>
          <t>Сервер запущен, пользователь вошёл в систему</t>
        </is>
      </c>
      <c r="E6" s="3" t="inlineStr">
        <is>
          <t>1. Отправить NEWTON, где f'(x0) = 0</t>
        </is>
      </c>
      <c r="F6" s="3" t="inlineStr">
        <is>
          <t>NEWTON 0 1 0 -4 0
(f = x² − 4, x0 = 0)</t>
        </is>
      </c>
      <c r="G6" s="3" t="inlineStr">
        <is>
          <t>NEWTON ERROR: f'(x0) = 0 …, x1 не выводится</t>
        </is>
      </c>
      <c r="H6" s="3" t="inlineStr">
        <is>
          <t>NEWTON ERROR: f'(x0) = 0: касательная параллельна оси OX</t>
        </is>
      </c>
      <c r="I6" s="4" t="inlineStr">
        <is>
          <t>Passed</t>
        </is>
      </c>
      <c r="J6" s="3" t="inlineStr">
        <is>
          <t>High</t>
        </is>
      </c>
      <c r="K6" s="3" t="inlineStr"/>
    </row>
    <row r="7">
      <c r="A7" s="3" t="inlineStr">
        <is>
          <t>TC-03</t>
        </is>
      </c>
      <c r="B7" s="3" t="inlineStr">
        <is>
          <t>Вариант 4 / сервер</t>
        </is>
      </c>
      <c r="C7" s="3" t="inlineStr">
        <is>
          <t>Неверное число аргументов</t>
        </is>
      </c>
      <c r="D7" s="3" t="inlineStr">
        <is>
          <t>Сервер запущен, пользователь вошёл в систему</t>
        </is>
      </c>
      <c r="E7" s="3" t="inlineStr">
        <is>
          <t>1. Отправить NEWTON с 2 числами</t>
        </is>
      </c>
      <c r="F7" s="3" t="inlineStr">
        <is>
          <t>NEWTON 1 abc</t>
        </is>
      </c>
      <c r="G7" s="3" t="inlineStr">
        <is>
          <t>NEWTON ERROR: нужно 5 чисел + подсказка по формату</t>
        </is>
      </c>
      <c r="H7" s="3" t="inlineStr">
        <is>
          <t>NEWTON ERROR: нужно 5 чисел: c3 c2 c1 c0 x0 + строка «Формат: …»</t>
        </is>
      </c>
      <c r="I7" s="4" t="inlineStr">
        <is>
          <t>Passed</t>
        </is>
      </c>
      <c r="J7" s="3" t="inlineStr">
        <is>
          <t>Medium</t>
        </is>
      </c>
      <c r="K7" s="3" t="inlineStr"/>
    </row>
    <row r="8">
      <c r="A8" s="3" t="inlineStr">
        <is>
          <t>TC-04</t>
        </is>
      </c>
      <c r="B8" s="3" t="inlineStr">
        <is>
          <t>Вариант 4 / сервер</t>
        </is>
      </c>
      <c r="C8" s="3" t="inlineStr">
        <is>
          <t>Запятая как десятичный разделитель</t>
        </is>
      </c>
      <c r="D8" s="3" t="inlineStr">
        <is>
          <t>Сервер запущен, пользователь вошёл в систему</t>
        </is>
      </c>
      <c r="E8" s="3" t="inlineStr">
        <is>
          <t>1. Отправить NEWTON с дробями через запятую</t>
        </is>
      </c>
      <c r="F8" s="3" t="inlineStr">
        <is>
          <t>NEWTON 0 0,5 0 -1,5 1,25</t>
        </is>
      </c>
      <c r="G8" s="3" t="inlineStr">
        <is>
          <t>x1 = 1.825</t>
        </is>
      </c>
      <c r="H8" s="3" t="inlineStr">
        <is>
          <t>NEWTON OK x1=1.825</t>
        </is>
      </c>
      <c r="I8" s="4" t="inlineStr">
        <is>
          <t>Passed</t>
        </is>
      </c>
      <c r="J8" s="3" t="inlineStr">
        <is>
          <t>Medium</t>
        </is>
      </c>
      <c r="K8" s="3" t="inlineStr"/>
    </row>
    <row r="9">
      <c r="A9" s="3" t="inlineStr">
        <is>
          <t>TC-05</t>
        </is>
      </c>
      <c r="B9" s="3" t="inlineStr">
        <is>
          <t>Вариант 4 / сервер</t>
        </is>
      </c>
      <c r="C9" s="3" t="inlineStr">
        <is>
          <t>Команда в нижнем регистре</t>
        </is>
      </c>
      <c r="D9" s="3" t="inlineStr">
        <is>
          <t>Сервер запущен, пользователь вошёл в систему</t>
        </is>
      </c>
      <c r="E9" s="3" t="inlineStr">
        <is>
          <t>1. Отправить newton строчными буквами</t>
        </is>
      </c>
      <c r="F9" s="3" t="inlineStr">
        <is>
          <t>newton 1 0 -2 -5 2</t>
        </is>
      </c>
      <c r="G9" s="3" t="inlineStr">
        <is>
          <t>x1 = 2.1</t>
        </is>
      </c>
      <c r="H9" s="3" t="inlineStr">
        <is>
          <t>NEWTON OK x1=2.1</t>
        </is>
      </c>
      <c r="I9" s="4" t="inlineStr">
        <is>
          <t>Passed</t>
        </is>
      </c>
      <c r="J9" s="3" t="inlineStr">
        <is>
          <t>Low</t>
        </is>
      </c>
      <c r="K9" s="3" t="inlineStr"/>
    </row>
    <row r="10">
      <c r="A10" s="3" t="inlineStr">
        <is>
          <t>TC-06</t>
        </is>
      </c>
      <c r="B10" s="3" t="inlineStr">
        <is>
          <t>Вариант 4 / сервер</t>
        </is>
      </c>
      <c r="C10" s="3" t="inlineStr">
        <is>
          <t>NEWTON без авторизации</t>
        </is>
      </c>
      <c r="D10" s="3" t="inlineStr">
        <is>
          <t>Сервер запущен, вход НЕ выполнен</t>
        </is>
      </c>
      <c r="E10" s="3" t="inlineStr">
        <is>
          <t>1. Подключиться
2. Отправить NEWTON</t>
        </is>
      </c>
      <c r="F10" s="3" t="inlineStr">
        <is>
          <t>NEWTON 1 0 -2 -5 2</t>
        </is>
      </c>
      <c r="G10" s="3" t="inlineStr">
        <is>
          <t>Команда недоступна гостю</t>
        </is>
      </c>
      <c r="H10" s="3" t="inlineStr">
        <is>
          <t>«Неизвестная команда. Используйте REGISTER, LOGIN или STATS.»</t>
        </is>
      </c>
      <c r="I10" s="4" t="inlineStr">
        <is>
          <t>Passed</t>
        </is>
      </c>
      <c r="J10" s="3" t="inlineStr">
        <is>
          <t>Medium</t>
        </is>
      </c>
      <c r="K10" s="3" t="inlineStr"/>
    </row>
    <row r="11">
      <c r="A11" s="3" t="inlineStr">
        <is>
          <t>TC-07</t>
        </is>
      </c>
      <c r="B11" s="3" t="inlineStr">
        <is>
          <t>Вариант 4 / сервер</t>
        </is>
      </c>
      <c r="C11" s="3" t="inlineStr">
        <is>
          <t>TASK4: правильный ответ (точка)</t>
        </is>
      </c>
      <c r="D11" s="3" t="inlineStr">
        <is>
          <t>Сервер запущен, пользователь вошёл в систему</t>
        </is>
      </c>
      <c r="E11" s="3" t="inlineStr">
        <is>
          <t>1. Отправить TASK4
2. Вычислить x1 = x0 − f(x0)/f'(x0)
3. Отправить ответ</t>
        </is>
      </c>
      <c r="F11" s="3" t="inlineStr">
        <is>
          <t>Ответ с точностью 0.001, разделитель «.»</t>
        </is>
      </c>
      <c r="G11" s="3" t="inlineStr">
        <is>
          <t>✅ ПРАВИЛЬНО, статистика +1/+1</t>
        </is>
      </c>
      <c r="H11" s="3" t="inlineStr">
        <is>
          <t>✅ ПРАВИЛЬНО! x1 = 3.5000</t>
        </is>
      </c>
      <c r="I11" s="4" t="inlineStr">
        <is>
          <t>Passed</t>
        </is>
      </c>
      <c r="J11" s="3" t="inlineStr">
        <is>
          <t>High</t>
        </is>
      </c>
      <c r="K11" s="3" t="inlineStr"/>
    </row>
    <row r="12">
      <c r="A12" s="3" t="inlineStr">
        <is>
          <t>TC-08</t>
        </is>
      </c>
      <c r="B12" s="3" t="inlineStr">
        <is>
          <t>Вариант 4 / сервер</t>
        </is>
      </c>
      <c r="C12" s="3" t="inlineStr">
        <is>
          <t>TASK4: правильный ответ (запятая)</t>
        </is>
      </c>
      <c r="D12" s="3" t="inlineStr">
        <is>
          <t>Сервер запущен, пользователь вошёл в систему</t>
        </is>
      </c>
      <c r="E12" s="3" t="inlineStr">
        <is>
          <t>1. TASK4
2. Отправить ответ через запятую</t>
        </is>
      </c>
      <c r="F12" s="3" t="inlineStr">
        <is>
          <t>например 3,731 при x1 = 3.7308</t>
        </is>
      </c>
      <c r="G12" s="3" t="inlineStr">
        <is>
          <t>✅ ПРАВИЛЬНО</t>
        </is>
      </c>
      <c r="H12" s="3" t="inlineStr">
        <is>
          <t>✅ ПРАВИЛЬНО! x1 = 3.7308</t>
        </is>
      </c>
      <c r="I12" s="4" t="inlineStr">
        <is>
          <t>Passed</t>
        </is>
      </c>
      <c r="J12" s="3" t="inlineStr">
        <is>
          <t>Medium</t>
        </is>
      </c>
      <c r="K12" s="3" t="inlineStr"/>
    </row>
    <row r="13">
      <c r="A13" s="3" t="inlineStr">
        <is>
          <t>TC-09</t>
        </is>
      </c>
      <c r="B13" s="3" t="inlineStr">
        <is>
          <t>Вариант 4 / сервер</t>
        </is>
      </c>
      <c r="C13" s="3" t="inlineStr">
        <is>
          <t>TASK4: неправильный ответ</t>
        </is>
      </c>
      <c r="D13" s="3" t="inlineStr">
        <is>
          <t>Сервер запущен, пользователь вошёл в систему</t>
        </is>
      </c>
      <c r="E13" s="3" t="inlineStr">
        <is>
          <t>1. TASK4
2. Отправить заведомо неверный ответ
3. MENU</t>
        </is>
      </c>
      <c r="F13" s="3" t="inlineStr">
        <is>
          <t>999</t>
        </is>
      </c>
      <c r="G13" s="3" t="inlineStr">
        <is>
          <t>❌ НЕПРАВИЛЬНО + верный x1; в меню «решено 3, правильно 2» после TC-07..09</t>
        </is>
      </c>
      <c r="H13" s="3" t="inlineStr">
        <is>
          <t>❌ НЕПРАВИЛЬНО! Правильный ответ: x1 = -2.8462; «решено 3, правильно 2 (66.7%)»</t>
        </is>
      </c>
      <c r="I13" s="4" t="inlineStr">
        <is>
          <t>Passed</t>
        </is>
      </c>
      <c r="J13" s="3" t="inlineStr">
        <is>
          <t>High</t>
        </is>
      </c>
      <c r="K13" s="3" t="inlineStr"/>
    </row>
    <row r="14">
      <c r="A14" s="3" t="inlineStr">
        <is>
          <t>TC-10</t>
        </is>
      </c>
      <c r="B14" s="3" t="inlineStr">
        <is>
          <t>Вариант 4 / сервер</t>
        </is>
      </c>
      <c r="C14" s="3" t="inlineStr">
        <is>
          <t>TASK4: нечисловой ответ</t>
        </is>
      </c>
      <c r="D14" s="3" t="inlineStr">
        <is>
          <t>Сервер запущен, пользователь вошёл в систему</t>
        </is>
      </c>
      <c r="E14" s="3" t="inlineStr">
        <is>
          <t>1. TASK4
2. Отправить текст
3. STATS</t>
        </is>
      </c>
      <c r="F14" s="3" t="inlineStr">
        <is>
          <t>abc</t>
        </is>
      </c>
      <c r="G14" s="3" t="inlineStr">
        <is>
          <t>«Ошибка: введите число!», попытка не засчитана, следующая команда выполняется как обычно</t>
        </is>
      </c>
      <c r="H14" s="3" t="inlineStr">
        <is>
          <t>«Ошибка: введите число!», STATS вернул статистику сервера</t>
        </is>
      </c>
      <c r="I14" s="4" t="inlineStr">
        <is>
          <t>Passed</t>
        </is>
      </c>
      <c r="J14" s="3" t="inlineStr">
        <is>
          <t>Medium</t>
        </is>
      </c>
      <c r="K14" s="3" t="inlineStr"/>
    </row>
    <row r="15">
      <c r="A15" s="3" t="inlineStr">
        <is>
          <t>TC-11</t>
        </is>
      </c>
      <c r="B15" s="3" t="inlineStr">
        <is>
          <t>Вариант 4 / клиент</t>
        </is>
      </c>
      <c r="C15" s="3" t="inlineStr">
        <is>
          <t>Кнопка «Вариант 4: Ньютон»</t>
        </is>
      </c>
      <c r="D15" s="3" t="inlineStr">
        <is>
          <t>Клиент и сервер запущены, вход выполнен</t>
        </is>
      </c>
      <c r="E15" s="3" t="inlineStr">
        <is>
          <t>1. Нажать «Вариант 4: Ньютон»
2. Оставить значения по умолчанию
3. OK</t>
        </is>
      </c>
      <c r="F15" s="3" t="inlineStr">
        <is>
          <t>c3=1, c2=0, c1=−2, c0=−5, x0=2</t>
        </is>
      </c>
      <c r="G15" s="3" t="inlineStr">
        <is>
          <t>Окно «Метод Ньютона» с x1 = 2.1, запись в журнале</t>
        </is>
      </c>
      <c r="H15" s="3" t="inlineStr"/>
      <c r="I15" s="5" t="inlineStr">
        <is>
          <t>Not run</t>
        </is>
      </c>
      <c r="J15" s="3" t="inlineStr">
        <is>
          <t>High</t>
        </is>
      </c>
      <c r="K15" s="3" t="inlineStr"/>
    </row>
    <row r="16">
      <c r="A16" s="3" t="inlineStr">
        <is>
          <t>TC-12</t>
        </is>
      </c>
      <c r="B16" s="3" t="inlineStr">
        <is>
          <t>Вариант 4 / клиент</t>
        </is>
      </c>
      <c r="C16" s="3" t="inlineStr">
        <is>
          <t>Кнопка «Задание 4 (Ньютон)» — отмена</t>
        </is>
      </c>
      <c r="D16" s="3" t="inlineStr">
        <is>
          <t>Клиент и сервер запущены, вход выполнен</t>
        </is>
      </c>
      <c r="E16" s="3" t="inlineStr">
        <is>
          <t>1. Нажать «Задание 4»
2. Нажать «Cancel»
3. Нажать «Статистика»</t>
        </is>
      </c>
      <c r="F16" s="3" t="inlineStr">
        <is>
          <t>—</t>
        </is>
      </c>
      <c r="G16" s="3" t="inlineStr">
        <is>
          <t>«Задание 4 отменено»; «Статистика» показывает статистику сервера (не ошибку)</t>
        </is>
      </c>
      <c r="H16" s="3" t="inlineStr"/>
      <c r="I16" s="5" t="inlineStr">
        <is>
          <t>Not run</t>
        </is>
      </c>
      <c r="J16" s="3" t="inlineStr">
        <is>
          <t>Medium</t>
        </is>
      </c>
      <c r="K16" s="3" t="inlineStr"/>
    </row>
    <row r="17">
      <c r="A17" s="3" t="inlineStr">
        <is>
          <t>TC-13</t>
        </is>
      </c>
      <c r="B17" s="3" t="inlineStr">
        <is>
          <t>Авторизация / сервер</t>
        </is>
      </c>
      <c r="C17" s="3" t="inlineStr">
        <is>
          <t>Вход по email</t>
        </is>
      </c>
      <c r="D17" s="3" t="inlineStr">
        <is>
          <t>Пользователь t@t.ru / tc зарегистрирован</t>
        </is>
      </c>
      <c r="E17" s="3" t="inlineStr">
        <is>
          <t>1. LOGIN
2. t@t.ru
3. pw1234</t>
        </is>
      </c>
      <c r="F17" s="3" t="inlineStr">
        <is>
          <t>email вместо логина</t>
        </is>
      </c>
      <c r="G17" s="3" t="inlineStr">
        <is>
          <t>«Вход выполнен успешно! Добро пожаловать, tc!»</t>
        </is>
      </c>
      <c r="H17" s="3" t="inlineStr">
        <is>
          <t>«Вход выполнен успешно! Добро пожаловать, tc!»</t>
        </is>
      </c>
      <c r="I17" s="4" t="inlineStr">
        <is>
          <t>Passed</t>
        </is>
      </c>
      <c r="J17" s="3" t="inlineStr">
        <is>
          <t>High</t>
        </is>
      </c>
      <c r="K17" s="3" t="inlineStr"/>
    </row>
    <row r="18">
      <c r="A18" s="3" t="inlineStr">
        <is>
          <t>TC-14</t>
        </is>
      </c>
      <c r="B18" s="3" t="inlineStr">
        <is>
          <t>Авторизация / клиент</t>
        </is>
      </c>
      <c r="C18" s="3" t="inlineStr">
        <is>
          <t>Регистрация через окно по подписям полей</t>
        </is>
      </c>
      <c r="D18" s="3" t="inlineStr">
        <is>
          <t>Клиент запущен</t>
        </is>
      </c>
      <c r="E18" s="3" t="inlineStr">
        <is>
          <t>1. В поле «Email» ввести a@b.ru
2. В поле «Логин» ввести aslan
3. Пароль, «Регистрация»
4. Войти как aslan</t>
        </is>
      </c>
      <c r="F18" s="3" t="inlineStr">
        <is>
          <t>a@b.ru / aslan / pass123</t>
        </is>
      </c>
      <c r="G18" s="3" t="inlineStr">
        <is>
          <t>Пользователь aslan с email a@b.ru, вход по логину aslan успешен</t>
        </is>
      </c>
      <c r="H18" s="3" t="inlineStr">
        <is>
          <t>Email и логин меняются местами (см. authregform.cpp: loginEdit → email, emailEdit → login)</t>
        </is>
      </c>
      <c r="I18" s="6" t="inlineStr">
        <is>
          <t>Failed</t>
        </is>
      </c>
      <c r="J18" s="3" t="inlineStr">
        <is>
          <t>High</t>
        </is>
      </c>
      <c r="K18" s="3" t="inlineStr">
        <is>
          <t>BUG-01</t>
        </is>
      </c>
    </row>
    <row r="19">
      <c r="A19" s="3" t="inlineStr">
        <is>
          <t>TC-15</t>
        </is>
      </c>
      <c r="B19" s="3" t="inlineStr">
        <is>
          <t>Сервер / задания</t>
        </is>
      </c>
      <c r="C19" s="3" t="inlineStr">
        <is>
          <t>Команда после TASK1 без ответа</t>
        </is>
      </c>
      <c r="D19" s="3" t="inlineStr">
        <is>
          <t>Сервер запущен, пользователь вошёл в систему</t>
        </is>
      </c>
      <c r="E19" s="3" t="inlineStr">
        <is>
          <t>1. TASK1
2. Не отвечать, отправить STATS</t>
        </is>
      </c>
      <c r="F19" s="3" t="inlineStr">
        <is>
          <t>STATS</t>
        </is>
      </c>
      <c r="G19" s="3" t="inlineStr">
        <is>
          <t>Выполняется STATS (или задание отменяется)</t>
        </is>
      </c>
      <c r="H19" s="3" t="inlineStr">
        <is>
          <t>«Ошибка: введите число!» — STATS принят как ответ</t>
        </is>
      </c>
      <c r="I19" s="6" t="inlineStr">
        <is>
          <t>Failed</t>
        </is>
      </c>
      <c r="J19" s="3" t="inlineStr">
        <is>
          <t>Medium</t>
        </is>
      </c>
      <c r="K19" s="3" t="inlineStr">
        <is>
          <t>BUG-02</t>
        </is>
      </c>
    </row>
    <row r="20">
      <c r="A20" s="3" t="inlineStr">
        <is>
          <t>TC-16</t>
        </is>
      </c>
      <c r="B20" s="3" t="inlineStr">
        <is>
          <t>Сервер / игра</t>
        </is>
      </c>
      <c r="C20" s="3" t="inlineStr">
        <is>
          <t>Сохранение игровой статистики</t>
        </is>
      </c>
      <c r="D20" s="3" t="inlineStr">
        <is>
          <t>Сервер запущен, пользователь вошёл в систему</t>
        </is>
      </c>
      <c r="E20" s="3" t="inlineStr">
        <is>
          <t>1. STARTGAME
2. Угадать число (GUESS)
3. GAMESTATS</t>
        </is>
      </c>
      <c r="F20" s="3" t="inlineStr">
        <is>
          <t>двоичный поиск 1..100</t>
        </is>
      </c>
      <c r="G20" s="3" t="inlineStr">
        <is>
          <t>Сыграно партий: 1, Всего угадано: 1</t>
        </is>
      </c>
      <c r="H20" s="3" t="inlineStr">
        <is>
          <t>Число угадано за 7 попыток, но GAMESTATS: 0 / 0 / 0</t>
        </is>
      </c>
      <c r="I20" s="6" t="inlineStr">
        <is>
          <t>Failed</t>
        </is>
      </c>
      <c r="J20" s="3" t="inlineStr">
        <is>
          <t>Medium</t>
        </is>
      </c>
      <c r="K20" s="3" t="inlineStr">
        <is>
          <t>BUG-03</t>
        </is>
      </c>
    </row>
    <row r="21">
      <c r="A21" s="3" t="inlineStr">
        <is>
          <t>TC-17</t>
        </is>
      </c>
      <c r="B21" s="3" t="inlineStr">
        <is>
          <t>Сервер / таймер</t>
        </is>
      </c>
      <c r="C21" s="3" t="inlineStr">
        <is>
          <t>Простой авторизованного пользователя 60 с</t>
        </is>
      </c>
      <c r="D21" s="3" t="inlineStr">
        <is>
          <t>Сервер запущен, пользователь вошёл в систему</t>
        </is>
      </c>
      <c r="E21" s="3" t="inlineStr">
        <is>
          <t>1. Войти
2. Ничего не отправлять 61 с</t>
        </is>
      </c>
      <c r="F21" s="3" t="inlineStr">
        <is>
          <t>—</t>
        </is>
      </c>
      <c r="G21" s="3" t="inlineStr">
        <is>
          <t>Сессия сохраняется, лишних сообщений нет</t>
        </is>
      </c>
      <c r="H21" s="3" t="inlineStr">
        <is>
          <t>«Время ожидания истекло. Начните заново.» + меню гостя, хотя вход сохранён</t>
        </is>
      </c>
      <c r="I21" s="6" t="inlineStr">
        <is>
          <t>Failed</t>
        </is>
      </c>
      <c r="J21" s="3" t="inlineStr">
        <is>
          <t>Medium</t>
        </is>
      </c>
      <c r="K21" s="3" t="inlineStr">
        <is>
          <t>BUG-04</t>
        </is>
      </c>
    </row>
    <row r="22">
      <c r="A22" s="3" t="inlineStr">
        <is>
          <t>TC-18</t>
        </is>
      </c>
      <c r="B22" s="3" t="inlineStr">
        <is>
          <t>Клиент / задания</t>
        </is>
      </c>
      <c r="C22" s="3" t="inlineStr">
        <is>
          <t>Текст заданий 1 и 2 в журнале</t>
        </is>
      </c>
      <c r="D22" s="3" t="inlineStr">
        <is>
          <t>Вход выполнен</t>
        </is>
      </c>
      <c r="E22" s="3" t="inlineStr">
        <is>
          <t>1. Нажать «Задание 1»
2. Сравнить текст журнала и текст сервера</t>
        </is>
      </c>
      <c r="F22" s="3" t="inlineStr">
        <is>
          <t>—</t>
        </is>
      </c>
      <c r="G22" s="3" t="inlineStr">
        <is>
          <t>Журнал показывает то же задание, что прислал сервер</t>
        </is>
      </c>
      <c r="H22" s="3" t="inlineStr">
        <is>
          <t>Журнал: «x^2 - 4 = 0», сервер: случайное линейное уравнение (mainwindow.cpp)</t>
        </is>
      </c>
      <c r="I22" s="6" t="inlineStr">
        <is>
          <t>Failed</t>
        </is>
      </c>
      <c r="J22" s="3" t="inlineStr">
        <is>
          <t>Low</t>
        </is>
      </c>
      <c r="K22" s="3" t="inlineStr">
        <is>
          <t>BUG-05</t>
        </is>
      </c>
    </row>
    <row r="23">
      <c r="A23" s="3" t="inlineStr">
        <is>
          <t>TC-19</t>
        </is>
      </c>
      <c r="B23" s="3" t="inlineStr">
        <is>
          <t>Юнит-тесты</t>
        </is>
      </c>
      <c r="C23" s="3" t="inlineStr">
        <is>
          <t>Прогон tests/tests.pro</t>
        </is>
      </c>
      <c r="D23" s="3" t="inlineStr">
        <is>
          <t>Qt 6 установлен</t>
        </is>
      </c>
      <c r="E23" s="3" t="inlineStr">
        <is>
          <t>1. qmake tests.pro &amp;&amp; make
2. unit_tests</t>
        </is>
      </c>
      <c r="F23" s="3" t="inlineStr">
        <is>
          <t>—</t>
        </is>
      </c>
      <c r="G23" s="3" t="inlineStr">
        <is>
          <t>0 failed, код возврата 0</t>
        </is>
      </c>
      <c r="H23" s="3" t="inlineStr">
        <is>
          <t>TestNewton 26 passed, TestDatabase 14 passed, TestFunctionClient 9 passed, exit 0</t>
        </is>
      </c>
      <c r="I23" s="4" t="inlineStr">
        <is>
          <t>Passed</t>
        </is>
      </c>
      <c r="J23" s="3" t="inlineStr">
        <is>
          <t>High</t>
        </is>
      </c>
      <c r="K23" s="3" t="inlineStr"/>
    </row>
  </sheetData>
  <autoFilter ref="A4:K23"/>
  <dataValidations count="1">
    <dataValidation sqref="I5 I6 I7 I8 I9 I10 I11 I12 I13 I14 I15 I16 I17 I18 I19 I20 I21 I22 I23" showDropDown="0" showInputMessage="0" showErrorMessage="0" allowBlank="1" type="list">
      <formula1>"Passed,Failed,Not run,Blocked"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1" customWidth="1" min="3" max="3"/>
    <col width="10" customWidth="1" min="4" max="4"/>
    <col width="26" customWidth="1" min="5" max="5"/>
    <col width="40" customWidth="1" min="6" max="6"/>
    <col width="32" customWidth="1" min="7" max="7"/>
    <col width="40" customWidth="1" min="8" max="8"/>
    <col width="42" customWidth="1" min="9" max="9"/>
    <col width="10" customWidth="1" min="10" max="10"/>
    <col width="9" customWidth="1" min="11" max="11"/>
  </cols>
  <sheetData>
    <row r="1">
      <c r="A1" s="1" t="inlineStr">
        <is>
          <t>Отчёты о дефектах (найдены при тестировании варианта 4 и смежного функционала)</t>
        </is>
      </c>
    </row>
    <row r="2">
      <c r="A2" t="inlineStr">
        <is>
          <t>Автор: Далаков Аслан, 251-952    Дата: 23.09.2026</t>
        </is>
      </c>
    </row>
    <row r="4">
      <c r="A4" s="2" t="inlineStr">
        <is>
          <t>ID</t>
        </is>
      </c>
      <c r="B4" s="2" t="inlineStr">
        <is>
          <t>Заголовок</t>
        </is>
      </c>
      <c r="C4" s="2" t="inlineStr">
        <is>
          <t>Серьёзность</t>
        </is>
      </c>
      <c r="D4" s="2" t="inlineStr">
        <is>
          <t>Приоритет</t>
        </is>
      </c>
      <c r="E4" s="2" t="inlineStr">
        <is>
          <t>Окружение</t>
        </is>
      </c>
      <c r="F4" s="2" t="inlineStr">
        <is>
          <t>Шаги воспроизведения</t>
        </is>
      </c>
      <c r="G4" s="2" t="inlineStr">
        <is>
          <t>Ожидаемый результат</t>
        </is>
      </c>
      <c r="H4" s="2" t="inlineStr">
        <is>
          <t>Фактический результат</t>
        </is>
      </c>
      <c r="I4" s="2" t="inlineStr">
        <is>
          <t>Где в коде</t>
        </is>
      </c>
      <c r="J4" s="2" t="inlineStr">
        <is>
          <t>Тест-кейс</t>
        </is>
      </c>
      <c r="K4" s="2" t="inlineStr">
        <is>
          <t>Статус</t>
        </is>
      </c>
    </row>
    <row r="5">
      <c r="A5" s="3" t="inlineStr">
        <is>
          <t>BUG-01</t>
        </is>
      </c>
      <c r="B5" s="3" t="inlineStr">
        <is>
          <t>Окно входа: поля «Email» и «Логин» перепутаны в коде</t>
        </is>
      </c>
      <c r="C5" s="6" t="inlineStr">
        <is>
          <t>Major</t>
        </is>
      </c>
      <c r="D5" s="3" t="inlineStr">
        <is>
          <t>High</t>
        </is>
      </c>
      <c r="E5" s="3" t="inlineStr">
        <is>
          <t>Windows 11, Qt 6.11.1 MinGW 64-bit, сервер echoServer (порт 33333), ветка feature/dalakov</t>
        </is>
      </c>
      <c r="F5" s="3" t="inlineStr">
        <is>
          <t>1. Запустить клиент
2. Email: a@b.ru, Логин: aslan, Пароль: pass123 → «Регистрация»
3. Ввести в «Логин» aslan → «Вход»</t>
        </is>
      </c>
      <c r="G5" s="3" t="inlineStr">
        <is>
          <t>Регистрируется логин aslan с email a@b.ru; вход по логину успешен</t>
        </is>
      </c>
      <c r="H5" s="3" t="inlineStr">
        <is>
          <t>Сервер получает email = «aslan», логин = «a@b.ru»; «Вход» берёт текст из поля «Email»</t>
        </is>
      </c>
      <c r="I5" s="3" t="inlineStr">
        <is>
          <t>client/authregform.cpp, on_registerButton_clicked(): email = loginEdit, login = emailEdit; on_loginButton_clicked(): login = emailEdit</t>
        </is>
      </c>
      <c r="J5" s="3" t="inlineStr">
        <is>
          <t>TC-14</t>
        </is>
      </c>
      <c r="K5" s="3" t="inlineStr">
        <is>
          <t>Open</t>
        </is>
      </c>
    </row>
    <row r="6">
      <c r="A6" s="3" t="inlineStr">
        <is>
          <t>BUG-02</t>
        </is>
      </c>
      <c r="B6" s="3" t="inlineStr">
        <is>
          <t>После TASK1/TASK2 любая следующая команда считается ответом</t>
        </is>
      </c>
      <c r="C6" s="6" t="inlineStr">
        <is>
          <t>Major</t>
        </is>
      </c>
      <c r="D6" s="3" t="inlineStr">
        <is>
          <t>Medium</t>
        </is>
      </c>
      <c r="E6" s="3" t="inlineStr">
        <is>
          <t>Windows 11, Qt 6.11.1 MinGW 64-bit, сервер echoServer (порт 33333), ветка feature/dalakov</t>
        </is>
      </c>
      <c r="F6" s="3" t="inlineStr">
        <is>
          <t>1. Войти
2. TASK1
3. Отправить STATS</t>
        </is>
      </c>
      <c r="G6" s="3" t="inlineStr">
        <is>
          <t>Выполняется STATS или задание отменяется</t>
        </is>
      </c>
      <c r="H6" s="3" t="inlineStr">
        <is>
          <t>«Ошибка: введите число!», STATS не выполнен; в клиенте то же при нажатии «Отмена» в диалоге</t>
        </is>
      </c>
      <c r="I6" s="3" t="inlineStr">
        <is>
          <t>server/server_functions.cpp, handleCommands(): ожиданиеЗадания проверяется до разбора команд</t>
        </is>
      </c>
      <c r="J6" s="3" t="inlineStr">
        <is>
          <t>TC-15</t>
        </is>
      </c>
      <c r="K6" s="3" t="inlineStr">
        <is>
          <t>Open</t>
        </is>
      </c>
    </row>
    <row r="7">
      <c r="A7" s="3" t="inlineStr">
        <is>
          <t>BUG-03</t>
        </is>
      </c>
      <c r="B7" s="3" t="inlineStr">
        <is>
          <t>Игровая статистика не сохраняется (GAMESTATS всегда 0)</t>
        </is>
      </c>
      <c r="C7" s="6" t="inlineStr">
        <is>
          <t>Major</t>
        </is>
      </c>
      <c r="D7" s="3" t="inlineStr">
        <is>
          <t>Medium</t>
        </is>
      </c>
      <c r="E7" s="3" t="inlineStr">
        <is>
          <t>Windows 11, Qt 6.11.1 MinGW 64-bit, сервер echoServer (порт 33333), ветка feature/dalakov</t>
        </is>
      </c>
      <c r="F7" s="3" t="inlineStr">
        <is>
          <t>1. Войти
2. STARTGAME
3. GUESS … до «ПОЗДРАВЛЯЮ»
4. GAMESTATS</t>
        </is>
      </c>
      <c r="G7" s="3" t="inlineStr">
        <is>
          <t>Сыграно партий: 1, угадано: 1, лучший результат: N попыток</t>
        </is>
      </c>
      <c r="H7" s="3" t="inlineStr">
        <is>
          <t>Всего попыток: 0, угадано: 0, сыграно: 0, «нет данных»</t>
        </is>
      </c>
      <c r="I7" s="3" t="inlineStr">
        <is>
          <t>server/server_functions.cpp, handleGuess(): не вызывается Database::updateGameStats()</t>
        </is>
      </c>
      <c r="J7" s="3" t="inlineStr">
        <is>
          <t>TC-16</t>
        </is>
      </c>
      <c r="K7" s="3" t="inlineStr">
        <is>
          <t>Open</t>
        </is>
      </c>
    </row>
    <row r="8">
      <c r="A8" s="3" t="inlineStr">
        <is>
          <t>BUG-04</t>
        </is>
      </c>
      <c r="B8" s="3" t="inlineStr">
        <is>
          <t>Таймер авторизации срабатывает у вошедшего пользователя</t>
        </is>
      </c>
      <c r="C8" s="7" t="inlineStr">
        <is>
          <t>Minor</t>
        </is>
      </c>
      <c r="D8" s="3" t="inlineStr">
        <is>
          <t>Medium</t>
        </is>
      </c>
      <c r="E8" s="3" t="inlineStr">
        <is>
          <t>Windows 11, Qt 6.11.1 MinGW 64-bit, сервер echoServer (порт 33333), ветка feature/dalakov</t>
        </is>
      </c>
      <c r="F8" s="3" t="inlineStr">
        <is>
          <t>1. Войти
2. Ничего не отправлять 61 секунду</t>
        </is>
      </c>
      <c r="G8" s="3" t="inlineStr">
        <is>
          <t>Вошедший пользователь не получает сообщений о таймауте</t>
        </is>
      </c>
      <c r="H8" s="3" t="inlineStr">
        <is>
          <t>Сервер присылает «Время ожидания истекло. Начните заново.» и меню гостя; при этом вход сохранён (MENU работает)</t>
        </is>
      </c>
      <c r="I8" s="3" t="inlineStr">
        <is>
          <t>server/mytcpserver.cpp, slotAuthTimeout(): нет проверки info.isAuthenticated / info.authStep &gt; 0</t>
        </is>
      </c>
      <c r="J8" s="3" t="inlineStr">
        <is>
          <t>TC-17</t>
        </is>
      </c>
      <c r="K8" s="3" t="inlineStr">
        <is>
          <t>Open</t>
        </is>
      </c>
    </row>
    <row r="9">
      <c r="A9" s="3" t="inlineStr">
        <is>
          <t>BUG-05</t>
        </is>
      </c>
      <c r="B9" s="3" t="inlineStr">
        <is>
          <t>Журнал клиента показывает не то задание, что прислал сервер</t>
        </is>
      </c>
      <c r="C9" s="5" t="inlineStr">
        <is>
          <t>Trivial</t>
        </is>
      </c>
      <c r="D9" s="3" t="inlineStr">
        <is>
          <t>Low</t>
        </is>
      </c>
      <c r="E9" s="3" t="inlineStr">
        <is>
          <t>Windows 11, Qt 6.11.1 MinGW 64-bit, сервер echoServer (порт 33333), ветка feature/dalakov</t>
        </is>
      </c>
      <c r="F9" s="3" t="inlineStr">
        <is>
          <t>1. Войти
2. Нажать «Задание 1» (или «Задание 2»)</t>
        </is>
      </c>
      <c r="G9" s="3" t="inlineStr">
        <is>
          <t>В журнале — задание, пришедшее с сервера</t>
        </is>
      </c>
      <c r="H9" s="3" t="inlineStr">
        <is>
          <t>Сначала пишется фиксированный текст «x^2 - 4 = 0» / «∫ x^2 dx от 0 до 2», затем другое задание от сервера</t>
        </is>
      </c>
      <c r="I9" s="3" t="inlineStr">
        <is>
          <t>client/mainwindow.cpp, on_task1Button_clicked() / on_task2Button_clicked()</t>
        </is>
      </c>
      <c r="J9" s="3" t="inlineStr">
        <is>
          <t>TC-18</t>
        </is>
      </c>
      <c r="K9" s="3" t="inlineStr">
        <is>
          <t>Open</t>
        </is>
      </c>
    </row>
    <row r="10">
      <c r="A10" s="3" t="inlineStr">
        <is>
          <t>BUG-06</t>
        </is>
      </c>
      <c r="B10" s="3" t="inlineStr">
        <is>
          <t>Пользователи не сохраняются между перезапусками сервера</t>
        </is>
      </c>
      <c r="C10" s="6" t="inlineStr">
        <is>
          <t>Major</t>
        </is>
      </c>
      <c r="D10" s="3" t="inlineStr">
        <is>
          <t>Medium</t>
        </is>
      </c>
      <c r="E10" s="3" t="inlineStr">
        <is>
          <t>Windows 11, Qt 6.11.1 MinGW 64-bit, сервер echoServer (порт 33333), ветка feature/dalakov</t>
        </is>
      </c>
      <c r="F10" s="3" t="inlineStr">
        <is>
          <t>1. Зарегистрировать пользователя
2. Перезапустить сервер
3. LOGIN</t>
        </is>
      </c>
      <c r="G10" s="3" t="inlineStr">
        <is>
          <t>Пользователь существует</t>
        </is>
      </c>
      <c r="H10" s="3" t="inlineStr">
        <is>
          <t>«Ошибка входа!» — база хранится только в памяти (QMap); пароли открытым текстом</t>
        </is>
      </c>
      <c r="I10" s="3" t="inlineStr">
        <is>
          <t>server/database.h/.cpp — нет подключения QSqlDatabase, хотя в server.pro есть QT += sql</t>
        </is>
      </c>
      <c r="J10" s="3" t="inlineStr">
        <is>
          <t>—</t>
        </is>
      </c>
      <c r="K10" s="3" t="inlineStr">
        <is>
          <t>Open</t>
        </is>
      </c>
    </row>
  </sheetData>
  <autoFilter ref="A4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Сводка прогона</t>
        </is>
      </c>
    </row>
    <row r="3">
      <c r="A3" s="8" t="inlineStr">
        <is>
          <t>Всего тест-кейсов</t>
        </is>
      </c>
      <c r="B3" s="8">
        <f>COUNTA('Тест-кейсы'!A5:A23)</f>
        <v/>
      </c>
    </row>
    <row r="4">
      <c r="A4" s="8" t="inlineStr">
        <is>
          <t>Passed</t>
        </is>
      </c>
      <c r="B4" s="8">
        <f>COUNTIF('Тест-кейсы'!I5:I23,"Passed")</f>
        <v/>
      </c>
    </row>
    <row r="5">
      <c r="A5" s="8" t="inlineStr">
        <is>
          <t>Failed</t>
        </is>
      </c>
      <c r="B5" s="8">
        <f>COUNTIF('Тест-кейсы'!I5:I23,"Failed")</f>
        <v/>
      </c>
    </row>
    <row r="6">
      <c r="A6" s="8" t="inlineStr">
        <is>
          <t>Not run (ручной прогон GUI)</t>
        </is>
      </c>
      <c r="B6" s="8">
        <f>COUNTIF('Тест-кейсы'!I5:I23,"Not run")</f>
        <v/>
      </c>
    </row>
    <row r="7">
      <c r="A7" s="8" t="inlineStr">
        <is>
          <t>Найдено дефектов</t>
        </is>
      </c>
      <c r="B7" s="8">
        <f>COUNTA('Дефекты'!A5:A10)</f>
        <v/>
      </c>
    </row>
    <row r="8">
      <c r="A8" s="8" t="inlineStr">
        <is>
          <t>из них Major</t>
        </is>
      </c>
      <c r="B8" s="8">
        <f>COUNTIF('Дефекты'!C5:C10,"Major")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2026-09-23T13:57:30Z</dcterms:created>
  <dcterms:modified xsi:type="dcterms:W3CDTF">2026-09-23T13:57:30Z</dcterms:modified>
</cp:coreProperties>
</file>